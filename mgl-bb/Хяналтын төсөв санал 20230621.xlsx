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01"/>
  <workbookPr/>
  <mc:AlternateContent xmlns:mc="http://schemas.openxmlformats.org/markup-compatibility/2006">
    <mc:Choice Requires="x15">
      <x15ac:absPath xmlns:x15ac="http://schemas.microsoft.com/office/spreadsheetml/2010/11/ac" url="C:\Users\kanji\Desktop\"/>
    </mc:Choice>
  </mc:AlternateContent>
  <xr:revisionPtr revIDLastSave="0" documentId="13_ncr:1_{741BA053-2E92-4936-8585-7370B0C485FD}" xr6:coauthVersionLast="47" xr6:coauthVersionMax="47" xr10:uidLastSave="{00000000-0000-0000-0000-000000000000}"/>
  <bookViews>
    <workbookView xWindow="28575" yWindow="465" windowWidth="21405" windowHeight="19080" xr2:uid="{00000000-000D-0000-FFFF-FFFF00000000}"/>
  </bookViews>
  <sheets>
    <sheet name="Нэгтгэл" sheetId="1" r:id="rId1"/>
    <sheet name="ИГС" sheetId="2" r:id="rId2"/>
    <sheet name="ГБЗ" sheetId="3" r:id="rId3"/>
  </sheets>
  <definedNames>
    <definedName name="_xlnm.Print_Area" localSheetId="0">Нэгтгэл!$A$1:$M$42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4" i="1" l="1"/>
  <c r="L5" i="1"/>
  <c r="L6" i="1"/>
  <c r="L7" i="1"/>
  <c r="L8" i="1"/>
  <c r="L9" i="1" l="1"/>
  <c r="N15" i="1" l="1"/>
  <c r="P20" i="1"/>
  <c r="E9" i="2" l="1"/>
  <c r="E11" i="2" s="1"/>
  <c r="G11" i="2" s="1"/>
  <c r="E8" i="2"/>
  <c r="G8" i="2" s="1"/>
  <c r="G7" i="2"/>
  <c r="G9" i="2" l="1"/>
  <c r="G13" i="2" l="1"/>
  <c r="G14" i="2" l="1"/>
  <c r="G16" i="2" s="1"/>
  <c r="G17" i="2" s="1"/>
  <c r="I14" i="1" s="1"/>
  <c r="M14" i="1" s="1"/>
  <c r="G15" i="2"/>
  <c r="M15" i="1"/>
  <c r="M12" i="1" l="1"/>
  <c r="M11" i="1"/>
  <c r="C9" i="1"/>
  <c r="I5" i="1"/>
  <c r="J5" i="1" s="1"/>
  <c r="K5" i="1" s="1"/>
  <c r="I8" i="1"/>
  <c r="J8" i="1" s="1"/>
  <c r="K8" i="1" s="1"/>
  <c r="I7" i="1"/>
  <c r="J7" i="1" s="1"/>
  <c r="K7" i="1" s="1"/>
  <c r="I6" i="1"/>
  <c r="J6" i="1" s="1"/>
  <c r="K6" i="1" s="1"/>
  <c r="I4" i="1"/>
  <c r="J4" i="1" s="1"/>
  <c r="K4" i="1" l="1"/>
  <c r="K9" i="1" s="1"/>
  <c r="J9" i="1"/>
  <c r="M7" i="1"/>
  <c r="M8" i="1" l="1"/>
  <c r="M5" i="1"/>
  <c r="M6" i="1"/>
  <c r="M4" i="1" l="1"/>
  <c r="M9" i="1" s="1"/>
  <c r="M17" i="1" l="1"/>
  <c r="M10" i="1"/>
  <c r="M18" i="1" l="1"/>
  <c r="M19" i="1" s="1"/>
  <c r="M20" i="1" l="1"/>
  <c r="Q20" i="1" s="1"/>
  <c r="F31" i="1"/>
  <c r="F32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Бат-Өлзий Билгүүн</author>
  </authors>
  <commentList>
    <comment ref="G8" authorId="0" shapeId="0" xr:uid="{FA77359E-ADCB-4CF7-A819-57F96F1E9235}">
      <text>
        <r>
          <rPr>
            <b/>
            <sz val="9"/>
            <color indexed="81"/>
            <rFont val="Tahoma"/>
            <charset val="1"/>
          </rPr>
          <t>Бат-Өлзий Билгүүн:</t>
        </r>
        <r>
          <rPr>
            <sz val="9"/>
            <color indexed="81"/>
            <rFont val="Tahoma"/>
            <charset val="1"/>
          </rPr>
          <t xml:space="preserve">
Үйлдвэрүүдийн төрлөөс хамааран БА,ББ, ИШС системийг салгаж төлөвлөж байснийг нэгтгэж төлөвлөхөөр тоовов</t>
        </r>
      </text>
    </comment>
    <comment ref="H8" authorId="0" shapeId="0" xr:uid="{0ED627DB-DBFF-475A-87EC-6DF32A25CC30}">
      <text>
        <r>
          <rPr>
            <b/>
            <sz val="9"/>
            <color indexed="81"/>
            <rFont val="Tahoma"/>
            <family val="2"/>
          </rPr>
          <t>Бат-Өлзий Билгүүн:</t>
        </r>
        <r>
          <rPr>
            <sz val="9"/>
            <color indexed="81"/>
            <rFont val="Tahoma"/>
            <family val="2"/>
          </rPr>
          <t xml:space="preserve">
Өндрийн итгэлцүүр тэглэв</t>
        </r>
      </text>
    </comment>
    <comment ref="I11" authorId="0" shapeId="0" xr:uid="{2582DB15-6D01-4B35-B4E4-2F7B0E71A857}">
      <text>
        <r>
          <rPr>
            <b/>
            <sz val="9"/>
            <color indexed="81"/>
            <rFont val="Tahoma"/>
            <family val="2"/>
          </rPr>
          <t>Бат-Өлзий Билгүүн:</t>
        </r>
        <r>
          <rPr>
            <sz val="9"/>
            <color indexed="81"/>
            <rFont val="Tahoma"/>
            <family val="2"/>
          </rPr>
          <t xml:space="preserve">
10% хямдрал тооцов</t>
        </r>
      </text>
    </comment>
    <comment ref="I12" authorId="0" shapeId="0" xr:uid="{594AEAB9-7051-4310-9768-C663969AE9E2}">
      <text>
        <r>
          <rPr>
            <b/>
            <sz val="9"/>
            <color indexed="81"/>
            <rFont val="Tahoma"/>
            <family val="2"/>
          </rPr>
          <t>Бат-Өлзий Билгүүн:</t>
        </r>
        <r>
          <rPr>
            <sz val="9"/>
            <color indexed="81"/>
            <rFont val="Tahoma"/>
            <family val="2"/>
          </rPr>
          <t xml:space="preserve">
10% хямдрал тооцов</t>
        </r>
      </text>
    </comment>
    <comment ref="M13" authorId="0" shapeId="0" xr:uid="{B79BF367-421E-490F-AFBA-9A3B311423FA}">
      <text>
        <r>
          <rPr>
            <b/>
            <sz val="9"/>
            <color indexed="81"/>
            <rFont val="Tahoma"/>
            <family val="2"/>
          </rPr>
          <t>Бат-Өлзий Билгүүн:</t>
        </r>
        <r>
          <rPr>
            <sz val="9"/>
            <color indexed="81"/>
            <rFont val="Tahoma"/>
            <family val="2"/>
          </rPr>
          <t xml:space="preserve">
Гадна 3 хэмжээст зураг төслийг үнэгүй хийхээр оруулж байна</t>
        </r>
      </text>
    </comment>
  </commentList>
</comments>
</file>

<file path=xl/sharedStrings.xml><?xml version="1.0" encoding="utf-8"?>
<sst xmlns="http://schemas.openxmlformats.org/spreadsheetml/2006/main" count="91" uniqueCount="77">
  <si>
    <t>Д/д</t>
  </si>
  <si>
    <t>Барилгын нэр</t>
  </si>
  <si>
    <t>НИЙТ ДҮН</t>
  </si>
  <si>
    <t xml:space="preserve">Шуудайны үйлдвэр </t>
  </si>
  <si>
    <t>1-р давхар нэгдсэн оффис</t>
  </si>
  <si>
    <t xml:space="preserve">Шуудайн дахин боловсруулах агуулах </t>
  </si>
  <si>
    <t xml:space="preserve">Профиль төмрийн үйлдвэр </t>
  </si>
  <si>
    <t xml:space="preserve">Өндрийн итгэлцүүр </t>
  </si>
  <si>
    <t>Жишиг үнэ /төг/</t>
  </si>
  <si>
    <t>Зураг төслийн ажлын үнэ</t>
  </si>
  <si>
    <t>Өндөр /м/</t>
  </si>
  <si>
    <t>Нэгж үнэ /төг/</t>
  </si>
  <si>
    <t>Тайлбар:</t>
  </si>
  <si>
    <r>
      <t xml:space="preserve">БД-81-16-20-ийн 4.21.3-ыг үндэслэн барилгын давхрын өндөр үйлдвэрийн барилгад 4,5м байхаар тооцсон ба түүнээс 1м тутамд 1.05 гэсэн итгэлцүүр хэрэглэнэ. </t>
    </r>
    <r>
      <rPr>
        <b/>
        <sz val="9"/>
        <color theme="1"/>
        <rFont val="Arial"/>
        <family val="2"/>
      </rPr>
      <t>/1.5м*0.05/</t>
    </r>
  </si>
  <si>
    <t xml:space="preserve">Хэмжих нэгж </t>
  </si>
  <si>
    <t>Тоо хэмжээ</t>
  </si>
  <si>
    <t>м2</t>
  </si>
  <si>
    <t xml:space="preserve">Поддоний үйлдвэр </t>
  </si>
  <si>
    <t>Барилгын төвөгшил</t>
  </si>
  <si>
    <t>Өндөр</t>
  </si>
  <si>
    <t>Ажлын зургийн үнэ</t>
  </si>
  <si>
    <t>Эскиз зургийн үнэ /АЗ*15%/</t>
  </si>
  <si>
    <t>га</t>
  </si>
  <si>
    <t xml:space="preserve">Нийт үнэ   </t>
  </si>
  <si>
    <t>Гадна тохижилтын зураг төсөл</t>
  </si>
  <si>
    <t>Ерөнхий төлөвлөгөө барилгажилтын төсөв</t>
  </si>
  <si>
    <t>Инженер геологийн судалгаа</t>
  </si>
  <si>
    <t>цооног</t>
  </si>
  <si>
    <t>TOPOGRAPHY</t>
  </si>
  <si>
    <t>Онцгой байдлын хяналтын зардал</t>
  </si>
  <si>
    <t>Улсын экспертизийн зардал /АЗ*8%/</t>
  </si>
  <si>
    <t>ДҮН</t>
  </si>
  <si>
    <t>НӨАТ</t>
  </si>
  <si>
    <t>Бэлтгэл ажил</t>
  </si>
  <si>
    <t>№</t>
  </si>
  <si>
    <t>Гүйцэтгэх ажлын нэр</t>
  </si>
  <si>
    <t>Үндэслэл</t>
  </si>
  <si>
    <t>Хэмжих нэгж</t>
  </si>
  <si>
    <t>Ажлын тоо хэмжээ</t>
  </si>
  <si>
    <t>Нэгж үнэ</t>
  </si>
  <si>
    <t>Нийт үнэ</t>
  </si>
  <si>
    <t>1. Хээрийн судалгаа</t>
  </si>
  <si>
    <t>Тууш метр</t>
  </si>
  <si>
    <t xml:space="preserve">Өрөмдлөгөөр ул хөрсний эвдэрсэн ба эвдрээгүй бүтэцтэй дээж авах </t>
  </si>
  <si>
    <t>1 дээж</t>
  </si>
  <si>
    <t>2. Лабораторын туршилт, шинжилгээ</t>
  </si>
  <si>
    <t>Ул хөрсний физик шинжилгээ MNS стандартаар тодорхойлох</t>
  </si>
  <si>
    <t>3. Боловсруулалтын ажил</t>
  </si>
  <si>
    <t>Боловсруулалтын ажил</t>
  </si>
  <si>
    <t>Хүснэгт №16</t>
  </si>
  <si>
    <t>Магадлалын ажлын зардал</t>
  </si>
  <si>
    <t>5м гүнтэй 38ширхэг цооног өрөмдөж хөрсний бичиглэл дээжлэлт хийх</t>
  </si>
  <si>
    <t>Инженер геологийн судалгааны ажил гүйцэтгэх төсөв</t>
  </si>
  <si>
    <t>Хүснэг №1</t>
  </si>
  <si>
    <t>Хүснэгт №15</t>
  </si>
  <si>
    <t>Хүснэгт №5</t>
  </si>
  <si>
    <t xml:space="preserve">Хүснэгт №6 </t>
  </si>
  <si>
    <t>Боловсруулалтын ажлын 5 хувь 2.10</t>
  </si>
  <si>
    <t>БД 81-103-21 Геодизи, зураг зүйн ажлын жишиг үнэ</t>
  </si>
  <si>
    <t>БД 81-117-13 Барилгын инженер геологийн ажлын жишиг үнэ</t>
  </si>
  <si>
    <t>БД 81-16-20 Зураг төслийн ажлын жишиг үнэ</t>
  </si>
  <si>
    <t>"BMS"/ЗТАҮ*6%/</t>
  </si>
  <si>
    <t>Төсөв /ЗТАҮ*8%/</t>
  </si>
  <si>
    <t>Төв аймаг, Сэргэлэн сум, 1-р багт төлөвлөж буй Аж үйлдвэрийн паркийн ерөнхий төлөвлөгөө, ажлын зураг төсөл боловсруулах төсөв</t>
  </si>
  <si>
    <t xml:space="preserve">БД-81-16-20-ийн 3.5.1-ийг үндэслэн 80га талбайн ерөнхий төлөвлөгөө, гадна тохижилтын зургийн нэгж үнийг тооцов. </t>
  </si>
  <si>
    <t>БД 81-103-21-ийг үндэслэн Тopography М1;500 зургийн үнийг тооцов.</t>
  </si>
  <si>
    <t>БД 81-117-13-ийг үндэслэн инженер геологийн ажлын үнийг тооцов.</t>
  </si>
  <si>
    <t>Ашигласан материал:</t>
  </si>
  <si>
    <t>БОЛОВСРУУЛСАН:</t>
  </si>
  <si>
    <t>Харьцуулалт:</t>
  </si>
  <si>
    <t>Эм Жи Эл И Эн Си ХХК</t>
  </si>
  <si>
    <t>Хяналтын төсөв</t>
  </si>
  <si>
    <t>Зөрүү</t>
  </si>
  <si>
    <t>БТГ-ы СХА-ы Ахлах мэргэжилтэн:                                           Э.ЭРДЭНЭБОЛД</t>
  </si>
  <si>
    <r>
      <t>БД-81-16-20-ийн 4.19-ийг үндэслэн галаас хамгаалах "BMS" системийн 6</t>
    </r>
    <r>
      <rPr>
        <b/>
        <sz val="9"/>
        <color theme="1"/>
        <rFont val="Arial"/>
        <family val="2"/>
      </rPr>
      <t>%</t>
    </r>
    <r>
      <rPr>
        <sz val="9"/>
        <color theme="1"/>
        <rFont val="Arial"/>
        <family val="2"/>
      </rPr>
      <t xml:space="preserve">, төсвийн </t>
    </r>
    <r>
      <rPr>
        <b/>
        <sz val="9"/>
        <color theme="1"/>
        <rFont val="Arial"/>
        <family val="2"/>
      </rPr>
      <t>8%</t>
    </r>
    <r>
      <rPr>
        <sz val="9"/>
        <color theme="1"/>
        <rFont val="Arial"/>
        <family val="2"/>
      </rPr>
      <t xml:space="preserve"> нэмж тооцов. </t>
    </r>
  </si>
  <si>
    <r>
      <t>Рендер 3 хэмжээст зураглал хийх /ЕТ+ГТ/*5%</t>
    </r>
    <r>
      <rPr>
        <b/>
        <sz val="9"/>
        <color rgb="FFFF0000"/>
        <rFont val="Arial"/>
        <family val="2"/>
      </rPr>
      <t xml:space="preserve"> /Бонусаар төлбөргүй хийгдэнэ</t>
    </r>
    <r>
      <rPr>
        <b/>
        <sz val="9"/>
        <color theme="1"/>
        <rFont val="Arial"/>
        <family val="2"/>
      </rPr>
      <t xml:space="preserve">/ </t>
    </r>
  </si>
  <si>
    <t>Огноо:2023.06.21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</si>
</sst>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* #,##0.00_-;\-* #,##0.00_-;_-* &quot;-&quot;??_-;_-@_-"/>
    <numFmt numFmtId="165" formatCode="_-* #,##0.000_-;\-* #,##0.000_-;_-* &quot;-&quot;??_-;_-@_-"/>
    <numFmt numFmtId="166" formatCode="_-* #,##0_-;\-* #,##0_-;_-* &quot;-&quot;??_-;_-@_-"/>
    <numFmt numFmtId="167" formatCode="_-* #,##0.0_-;\-* #,##0.0_-;_-* &quot;-&quot;??_-;_-@_-"/>
    <numFmt numFmtId="168" formatCode="_-[$₮-450]\ * #,##0.00_-;\-[$₮-450]\ * #,##0.00_-;_-[$₮-450]\ * &quot;-&quot;??_-;_-@_-"/>
  </numFmts>
  <fonts count="15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  <charset val="204"/>
    </font>
    <font>
      <b/>
      <sz val="9"/>
      <color theme="1"/>
      <name val="Arial"/>
      <family val="2"/>
      <charset val="204"/>
    </font>
    <font>
      <b/>
      <sz val="11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4"/>
      <color theme="1"/>
      <name val="Arial"/>
      <family val="2"/>
    </font>
    <font>
      <sz val="9"/>
      <color rgb="FFFF0000"/>
      <name val="Arial"/>
      <family val="2"/>
    </font>
    <font>
      <b/>
      <sz val="9"/>
      <color rgb="FFFF0000"/>
      <name val="Arial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82">
    <xf numFmtId="0" fontId="0" fillId="0" borderId="0" xfId="0"/>
    <xf numFmtId="164" fontId="3" fillId="2" borderId="1" xfId="1" applyFont="1" applyFill="1" applyBorder="1" applyAlignment="1">
      <alignment horizontal="center" vertical="center" wrapText="1"/>
    </xf>
    <xf numFmtId="164" fontId="3" fillId="3" borderId="1" xfId="1" applyFont="1" applyFill="1" applyBorder="1" applyAlignment="1">
      <alignment horizontal="center" vertical="center" wrapText="1"/>
    </xf>
    <xf numFmtId="164" fontId="2" fillId="3" borderId="0" xfId="1" applyFont="1" applyFill="1" applyAlignment="1">
      <alignment horizontal="center" vertical="center" wrapText="1"/>
    </xf>
    <xf numFmtId="164" fontId="3" fillId="3" borderId="0" xfId="1" applyFont="1" applyFill="1" applyAlignment="1">
      <alignment horizontal="center" vertical="center" wrapText="1"/>
    </xf>
    <xf numFmtId="164" fontId="2" fillId="3" borderId="1" xfId="1" applyFont="1" applyFill="1" applyBorder="1" applyAlignment="1">
      <alignment horizontal="center" vertical="center" wrapText="1"/>
    </xf>
    <xf numFmtId="164" fontId="2" fillId="3" borderId="1" xfId="1" applyFont="1" applyFill="1" applyBorder="1" applyAlignment="1">
      <alignment horizontal="left" vertical="center" wrapText="1"/>
    </xf>
    <xf numFmtId="164" fontId="3" fillId="3" borderId="0" xfId="1" applyFont="1" applyFill="1" applyAlignment="1">
      <alignment horizontal="right" vertical="center"/>
    </xf>
    <xf numFmtId="164" fontId="3" fillId="3" borderId="0" xfId="1" applyFont="1" applyFill="1" applyAlignment="1">
      <alignment horizontal="right" vertical="center" wrapText="1"/>
    </xf>
    <xf numFmtId="0" fontId="2" fillId="3" borderId="0" xfId="1" applyNumberFormat="1" applyFont="1" applyFill="1" applyAlignment="1">
      <alignment vertical="center" wrapText="1"/>
    </xf>
    <xf numFmtId="164" fontId="4" fillId="3" borderId="1" xfId="1" applyFont="1" applyFill="1" applyBorder="1" applyAlignment="1">
      <alignment horizontal="center" vertical="center" wrapText="1"/>
    </xf>
    <xf numFmtId="0" fontId="2" fillId="3" borderId="0" xfId="1" applyNumberFormat="1" applyFont="1" applyFill="1" applyAlignment="1">
      <alignment horizontal="left" vertical="center" wrapText="1"/>
    </xf>
    <xf numFmtId="164" fontId="3" fillId="3" borderId="1" xfId="1" applyFont="1" applyFill="1" applyBorder="1" applyAlignment="1">
      <alignment horizontal="right" vertical="center" wrapText="1"/>
    </xf>
    <xf numFmtId="164" fontId="5" fillId="3" borderId="1" xfId="1" applyFont="1" applyFill="1" applyBorder="1" applyAlignment="1">
      <alignment horizontal="center" vertical="center" wrapText="1"/>
    </xf>
    <xf numFmtId="164" fontId="5" fillId="3" borderId="0" xfId="1" applyFont="1" applyFill="1" applyAlignment="1">
      <alignment horizontal="center" vertical="center" wrapText="1"/>
    </xf>
    <xf numFmtId="165" fontId="3" fillId="3" borderId="0" xfId="1" applyNumberFormat="1" applyFont="1" applyFill="1" applyAlignment="1">
      <alignment horizontal="center" vertical="center" wrapText="1"/>
    </xf>
    <xf numFmtId="0" fontId="7" fillId="0" borderId="0" xfId="0" applyFont="1"/>
    <xf numFmtId="0" fontId="6" fillId="4" borderId="6" xfId="0" applyFont="1" applyFill="1" applyBorder="1" applyAlignment="1">
      <alignment horizontal="center" vertical="center" wrapText="1"/>
    </xf>
    <xf numFmtId="0" fontId="6" fillId="4" borderId="7" xfId="0" applyFont="1" applyFill="1" applyBorder="1" applyAlignment="1">
      <alignment horizontal="center" vertical="center" wrapText="1"/>
    </xf>
    <xf numFmtId="0" fontId="6" fillId="4" borderId="8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 wrapText="1"/>
    </xf>
    <xf numFmtId="166" fontId="7" fillId="0" borderId="1" xfId="1" applyNumberFormat="1" applyFont="1" applyBorder="1" applyAlignment="1">
      <alignment horizontal="center" vertical="center" wrapText="1"/>
    </xf>
    <xf numFmtId="166" fontId="7" fillId="0" borderId="12" xfId="1" applyNumberFormat="1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/>
    </xf>
    <xf numFmtId="0" fontId="7" fillId="0" borderId="1" xfId="0" applyFont="1" applyBorder="1" applyAlignment="1">
      <alignment wrapText="1"/>
    </xf>
    <xf numFmtId="0" fontId="7" fillId="0" borderId="1" xfId="0" applyFont="1" applyBorder="1"/>
    <xf numFmtId="0" fontId="7" fillId="0" borderId="1" xfId="0" applyFont="1" applyBorder="1" applyAlignment="1">
      <alignment horizontal="center" wrapText="1"/>
    </xf>
    <xf numFmtId="166" fontId="7" fillId="0" borderId="1" xfId="1" applyNumberFormat="1" applyFont="1" applyBorder="1"/>
    <xf numFmtId="166" fontId="7" fillId="0" borderId="12" xfId="1" applyNumberFormat="1" applyFont="1" applyBorder="1"/>
    <xf numFmtId="164" fontId="7" fillId="0" borderId="0" xfId="1" applyFont="1"/>
    <xf numFmtId="0" fontId="7" fillId="0" borderId="1" xfId="0" applyFont="1" applyBorder="1" applyAlignment="1">
      <alignment horizontal="center"/>
    </xf>
    <xf numFmtId="164" fontId="7" fillId="0" borderId="1" xfId="1" applyFont="1" applyBorder="1"/>
    <xf numFmtId="0" fontId="6" fillId="4" borderId="16" xfId="0" applyFont="1" applyFill="1" applyBorder="1" applyAlignment="1">
      <alignment vertical="center"/>
    </xf>
    <xf numFmtId="164" fontId="6" fillId="4" borderId="16" xfId="1" applyFont="1" applyFill="1" applyBorder="1" applyAlignment="1">
      <alignment vertical="center"/>
    </xf>
    <xf numFmtId="166" fontId="6" fillId="4" borderId="16" xfId="1" applyNumberFormat="1" applyFont="1" applyFill="1" applyBorder="1" applyAlignment="1">
      <alignment vertical="center"/>
    </xf>
    <xf numFmtId="166" fontId="6" fillId="4" borderId="17" xfId="1" applyNumberFormat="1" applyFont="1" applyFill="1" applyBorder="1" applyAlignment="1">
      <alignment vertical="center"/>
    </xf>
    <xf numFmtId="164" fontId="6" fillId="0" borderId="0" xfId="1" applyFont="1"/>
    <xf numFmtId="0" fontId="6" fillId="0" borderId="0" xfId="0" applyFont="1"/>
    <xf numFmtId="0" fontId="7" fillId="0" borderId="0" xfId="0" applyFont="1" applyAlignment="1">
      <alignment horizontal="center"/>
    </xf>
    <xf numFmtId="0" fontId="2" fillId="5" borderId="0" xfId="1" applyNumberFormat="1" applyFont="1" applyFill="1" applyAlignment="1">
      <alignment horizontal="left" vertical="center" wrapText="1"/>
    </xf>
    <xf numFmtId="167" fontId="3" fillId="2" borderId="1" xfId="1" applyNumberFormat="1" applyFont="1" applyFill="1" applyBorder="1" applyAlignment="1">
      <alignment horizontal="center" vertical="center" wrapText="1"/>
    </xf>
    <xf numFmtId="167" fontId="2" fillId="3" borderId="1" xfId="1" applyNumberFormat="1" applyFont="1" applyFill="1" applyBorder="1" applyAlignment="1">
      <alignment horizontal="center" vertical="center" wrapText="1"/>
    </xf>
    <xf numFmtId="167" fontId="3" fillId="3" borderId="1" xfId="1" applyNumberFormat="1" applyFont="1" applyFill="1" applyBorder="1" applyAlignment="1">
      <alignment vertical="center" wrapText="1"/>
    </xf>
    <xf numFmtId="167" fontId="3" fillId="3" borderId="1" xfId="1" applyNumberFormat="1" applyFont="1" applyFill="1" applyBorder="1" applyAlignment="1">
      <alignment horizontal="center" vertical="center" wrapText="1"/>
    </xf>
    <xf numFmtId="167" fontId="2" fillId="3" borderId="0" xfId="1" applyNumberFormat="1" applyFont="1" applyFill="1" applyAlignment="1">
      <alignment horizontal="center" vertical="center" wrapText="1"/>
    </xf>
    <xf numFmtId="164" fontId="5" fillId="4" borderId="1" xfId="1" applyFont="1" applyFill="1" applyBorder="1" applyAlignment="1">
      <alignment horizontal="right" vertical="center" wrapText="1"/>
    </xf>
    <xf numFmtId="164" fontId="5" fillId="3" borderId="0" xfId="1" applyFont="1" applyFill="1" applyAlignment="1">
      <alignment horizontal="right" vertical="center" wrapText="1"/>
    </xf>
    <xf numFmtId="164" fontId="5" fillId="3" borderId="0" xfId="1" applyFont="1" applyFill="1" applyAlignment="1">
      <alignment horizontal="left" vertical="center" wrapText="1"/>
    </xf>
    <xf numFmtId="164" fontId="8" fillId="3" borderId="18" xfId="1" applyFont="1" applyFill="1" applyBorder="1" applyAlignment="1">
      <alignment horizontal="center" vertical="center" wrapText="1"/>
    </xf>
    <xf numFmtId="164" fontId="8" fillId="3" borderId="19" xfId="1" applyFont="1" applyFill="1" applyBorder="1" applyAlignment="1">
      <alignment horizontal="center" vertical="center" wrapText="1"/>
    </xf>
    <xf numFmtId="164" fontId="3" fillId="3" borderId="20" xfId="1" applyFont="1" applyFill="1" applyBorder="1" applyAlignment="1">
      <alignment horizontal="center" vertical="center" wrapText="1"/>
    </xf>
    <xf numFmtId="164" fontId="9" fillId="3" borderId="0" xfId="1" applyFont="1" applyFill="1" applyAlignment="1">
      <alignment horizontal="left" vertical="center" wrapText="1"/>
    </xf>
    <xf numFmtId="164" fontId="9" fillId="3" borderId="0" xfId="1" applyFont="1" applyFill="1" applyAlignment="1">
      <alignment horizontal="center" vertical="center" wrapText="1"/>
    </xf>
    <xf numFmtId="164" fontId="8" fillId="3" borderId="0" xfId="1" applyFont="1" applyFill="1" applyBorder="1" applyAlignment="1">
      <alignment horizontal="center" vertical="center" wrapText="1"/>
    </xf>
    <xf numFmtId="0" fontId="5" fillId="5" borderId="0" xfId="1" applyNumberFormat="1" applyFont="1" applyFill="1" applyAlignment="1">
      <alignment horizontal="left" vertical="center" wrapText="1"/>
    </xf>
    <xf numFmtId="0" fontId="2" fillId="3" borderId="0" xfId="1" applyNumberFormat="1" applyFont="1" applyFill="1" applyAlignment="1">
      <alignment vertical="center" wrapText="1"/>
    </xf>
    <xf numFmtId="0" fontId="4" fillId="3" borderId="0" xfId="1" applyNumberFormat="1" applyFont="1" applyFill="1" applyAlignment="1">
      <alignment horizontal="left" vertical="center" wrapText="1"/>
    </xf>
    <xf numFmtId="164" fontId="3" fillId="3" borderId="2" xfId="1" applyFont="1" applyFill="1" applyBorder="1" applyAlignment="1">
      <alignment horizontal="right" vertical="center" wrapText="1"/>
    </xf>
    <xf numFmtId="164" fontId="3" fillId="3" borderId="3" xfId="1" applyFont="1" applyFill="1" applyBorder="1" applyAlignment="1">
      <alignment horizontal="right" vertical="center" wrapText="1"/>
    </xf>
    <xf numFmtId="164" fontId="5" fillId="4" borderId="2" xfId="1" applyFont="1" applyFill="1" applyBorder="1" applyAlignment="1">
      <alignment horizontal="right" vertical="center" wrapText="1"/>
    </xf>
    <xf numFmtId="164" fontId="5" fillId="4" borderId="3" xfId="1" applyFont="1" applyFill="1" applyBorder="1" applyAlignment="1">
      <alignment horizontal="right" vertical="center" wrapText="1"/>
    </xf>
    <xf numFmtId="164" fontId="5" fillId="3" borderId="0" xfId="1" applyFont="1" applyFill="1" applyAlignment="1">
      <alignment horizontal="center" vertical="center" wrapText="1"/>
    </xf>
    <xf numFmtId="164" fontId="5" fillId="3" borderId="0" xfId="1" applyFont="1" applyFill="1" applyAlignment="1">
      <alignment horizontal="left" vertical="center" wrapText="1"/>
    </xf>
    <xf numFmtId="0" fontId="2" fillId="3" borderId="0" xfId="1" applyNumberFormat="1" applyFont="1" applyFill="1" applyAlignment="1">
      <alignment horizontal="left" vertical="center" wrapText="1"/>
    </xf>
    <xf numFmtId="164" fontId="2" fillId="3" borderId="0" xfId="1" applyFont="1" applyFill="1" applyAlignment="1">
      <alignment horizontal="left" vertical="center" wrapText="1"/>
    </xf>
    <xf numFmtId="168" fontId="5" fillId="3" borderId="0" xfId="1" applyNumberFormat="1" applyFont="1" applyFill="1" applyAlignment="1">
      <alignment horizontal="left" vertical="center" wrapText="1"/>
    </xf>
    <xf numFmtId="168" fontId="5" fillId="3" borderId="0" xfId="1" applyNumberFormat="1" applyFont="1" applyFill="1" applyAlignment="1">
      <alignment horizontal="center" vertical="center" wrapText="1"/>
    </xf>
    <xf numFmtId="168" fontId="10" fillId="3" borderId="0" xfId="1" applyNumberFormat="1" applyFont="1" applyFill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6" fillId="4" borderId="13" xfId="0" applyFont="1" applyFill="1" applyBorder="1" applyAlignment="1">
      <alignment horizontal="center" vertical="center"/>
    </xf>
    <xf numFmtId="0" fontId="6" fillId="4" borderId="14" xfId="0" applyFont="1" applyFill="1" applyBorder="1" applyAlignment="1">
      <alignment horizontal="center" vertical="center"/>
    </xf>
    <xf numFmtId="0" fontId="6" fillId="4" borderId="15" xfId="0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0"/>
  <sheetViews>
    <sheetView tabSelected="1" view="pageBreakPreview" topLeftCell="A4" zoomScale="115" zoomScaleNormal="100" zoomScaleSheetLayoutView="115" workbookViewId="0">
      <selection activeCell="F37" sqref="F37"/>
    </sheetView>
  </sheetViews>
  <sheetFormatPr defaultColWidth="9.140625" defaultRowHeight="12" x14ac:dyDescent="0.25"/>
  <cols>
    <col min="1" max="1" width="5.42578125" style="47" bestFit="1" customWidth="1"/>
    <col min="2" max="2" width="33.42578125" style="3" customWidth="1"/>
    <col min="3" max="3" width="11.7109375" style="3" customWidth="1"/>
    <col min="4" max="4" width="8.28515625" style="3" customWidth="1"/>
    <col min="5" max="6" width="9.42578125" style="3" customWidth="1"/>
    <col min="7" max="7" width="14.5703125" style="3" customWidth="1"/>
    <col min="8" max="8" width="9.42578125" style="3" customWidth="1"/>
    <col min="9" max="9" width="13.28515625" style="3" customWidth="1"/>
    <col min="10" max="10" width="15.140625" style="3" customWidth="1"/>
    <col min="11" max="11" width="15.140625" style="3" bestFit="1" customWidth="1"/>
    <col min="12" max="12" width="14" style="3" customWidth="1"/>
    <col min="13" max="13" width="16.85546875" style="3" customWidth="1"/>
    <col min="14" max="14" width="25.7109375" style="3" customWidth="1"/>
    <col min="15" max="16" width="14.28515625" style="3" bestFit="1" customWidth="1"/>
    <col min="17" max="17" width="14.42578125" style="3" customWidth="1"/>
    <col min="18" max="16384" width="9.140625" style="3"/>
  </cols>
  <sheetData>
    <row r="1" spans="1:16" ht="40.5" customHeight="1" x14ac:dyDescent="0.25">
      <c r="A1" s="56" t="s">
        <v>63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</row>
    <row r="2" spans="1:16" ht="18" x14ac:dyDescent="0.25">
      <c r="A2" s="51"/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3" t="s">
        <v>76</v>
      </c>
    </row>
    <row r="3" spans="1:16" s="4" customFormat="1" ht="36" customHeight="1" x14ac:dyDescent="0.25">
      <c r="A3" s="43" t="s">
        <v>0</v>
      </c>
      <c r="B3" s="1" t="s">
        <v>1</v>
      </c>
      <c r="C3" s="1" t="s">
        <v>15</v>
      </c>
      <c r="D3" s="1" t="s">
        <v>14</v>
      </c>
      <c r="E3" s="1" t="s">
        <v>10</v>
      </c>
      <c r="F3" s="1" t="s">
        <v>18</v>
      </c>
      <c r="G3" s="1" t="s">
        <v>8</v>
      </c>
      <c r="H3" s="1" t="s">
        <v>7</v>
      </c>
      <c r="I3" s="1" t="s">
        <v>11</v>
      </c>
      <c r="J3" s="1" t="s">
        <v>9</v>
      </c>
      <c r="K3" s="1" t="s">
        <v>61</v>
      </c>
      <c r="L3" s="1" t="s">
        <v>62</v>
      </c>
      <c r="M3" s="1" t="s">
        <v>23</v>
      </c>
    </row>
    <row r="4" spans="1:16" x14ac:dyDescent="0.25">
      <c r="A4" s="44">
        <v>1.1000000000000001</v>
      </c>
      <c r="B4" s="6" t="s">
        <v>3</v>
      </c>
      <c r="C4" s="5">
        <v>7125</v>
      </c>
      <c r="D4" s="5" t="s">
        <v>16</v>
      </c>
      <c r="E4" s="5">
        <v>6</v>
      </c>
      <c r="F4" s="5" t="s">
        <v>19</v>
      </c>
      <c r="G4" s="5">
        <v>19192</v>
      </c>
      <c r="H4" s="5">
        <v>1</v>
      </c>
      <c r="I4" s="5">
        <f>+G4*H4</f>
        <v>19192</v>
      </c>
      <c r="J4" s="5">
        <f>+C4*I4</f>
        <v>136743000</v>
      </c>
      <c r="K4" s="5">
        <f>+J4*6%</f>
        <v>8204580</v>
      </c>
      <c r="L4" s="5">
        <f>+J4*8%</f>
        <v>10939440</v>
      </c>
      <c r="M4" s="5">
        <f>+L4+K4+J4</f>
        <v>155887020</v>
      </c>
    </row>
    <row r="5" spans="1:16" x14ac:dyDescent="0.25">
      <c r="A5" s="44">
        <v>1.2</v>
      </c>
      <c r="B5" s="6" t="s">
        <v>4</v>
      </c>
      <c r="C5" s="5">
        <v>1225</v>
      </c>
      <c r="D5" s="5" t="s">
        <v>16</v>
      </c>
      <c r="E5" s="5">
        <v>4</v>
      </c>
      <c r="F5" s="5" t="s">
        <v>19</v>
      </c>
      <c r="G5" s="5">
        <v>19192</v>
      </c>
      <c r="H5" s="5">
        <v>1</v>
      </c>
      <c r="I5" s="5">
        <f t="shared" ref="I5:I8" si="0">+G5*H5</f>
        <v>19192</v>
      </c>
      <c r="J5" s="5">
        <f t="shared" ref="J5:J8" si="1">+C5*I5</f>
        <v>23510200</v>
      </c>
      <c r="K5" s="5">
        <f>+J5*6%</f>
        <v>1410612</v>
      </c>
      <c r="L5" s="5">
        <f t="shared" ref="L5:L7" si="2">+J5*8%</f>
        <v>1880816</v>
      </c>
      <c r="M5" s="5">
        <f>+L5+K5+J5</f>
        <v>26801628</v>
      </c>
    </row>
    <row r="6" spans="1:16" x14ac:dyDescent="0.25">
      <c r="A6" s="44">
        <v>1.3</v>
      </c>
      <c r="B6" s="6" t="s">
        <v>5</v>
      </c>
      <c r="C6" s="5">
        <v>1480</v>
      </c>
      <c r="D6" s="5" t="s">
        <v>16</v>
      </c>
      <c r="E6" s="5">
        <v>6</v>
      </c>
      <c r="F6" s="5" t="s">
        <v>19</v>
      </c>
      <c r="G6" s="5">
        <v>19192</v>
      </c>
      <c r="H6" s="5">
        <v>1</v>
      </c>
      <c r="I6" s="5">
        <f t="shared" si="0"/>
        <v>19192</v>
      </c>
      <c r="J6" s="5">
        <f t="shared" si="1"/>
        <v>28404160</v>
      </c>
      <c r="K6" s="5">
        <f>+J6*6%</f>
        <v>1704249.5999999999</v>
      </c>
      <c r="L6" s="5">
        <f t="shared" si="2"/>
        <v>2272332.8000000003</v>
      </c>
      <c r="M6" s="5">
        <f>+L6+K6+J6</f>
        <v>32380742.399999999</v>
      </c>
    </row>
    <row r="7" spans="1:16" x14ac:dyDescent="0.25">
      <c r="A7" s="44">
        <v>1.4</v>
      </c>
      <c r="B7" s="6" t="s">
        <v>17</v>
      </c>
      <c r="C7" s="5">
        <v>1500</v>
      </c>
      <c r="D7" s="5" t="s">
        <v>16</v>
      </c>
      <c r="E7" s="5">
        <v>6</v>
      </c>
      <c r="F7" s="5" t="s">
        <v>19</v>
      </c>
      <c r="G7" s="5">
        <v>19192</v>
      </c>
      <c r="H7" s="5">
        <v>1</v>
      </c>
      <c r="I7" s="5">
        <f t="shared" si="0"/>
        <v>19192</v>
      </c>
      <c r="J7" s="5">
        <f t="shared" si="1"/>
        <v>28788000</v>
      </c>
      <c r="K7" s="5">
        <f>+J7*6%</f>
        <v>1727280</v>
      </c>
      <c r="L7" s="5">
        <f t="shared" si="2"/>
        <v>2303040</v>
      </c>
      <c r="M7" s="5">
        <f>+L7+K7+J7</f>
        <v>32818320</v>
      </c>
    </row>
    <row r="8" spans="1:16" x14ac:dyDescent="0.25">
      <c r="A8" s="44">
        <v>1.5</v>
      </c>
      <c r="B8" s="6" t="s">
        <v>6</v>
      </c>
      <c r="C8" s="5">
        <v>2000</v>
      </c>
      <c r="D8" s="5" t="s">
        <v>16</v>
      </c>
      <c r="E8" s="5">
        <v>6</v>
      </c>
      <c r="F8" s="5" t="s">
        <v>19</v>
      </c>
      <c r="G8" s="5">
        <v>19192</v>
      </c>
      <c r="H8" s="5">
        <v>1</v>
      </c>
      <c r="I8" s="5">
        <f t="shared" si="0"/>
        <v>19192</v>
      </c>
      <c r="J8" s="5">
        <f t="shared" si="1"/>
        <v>38384000</v>
      </c>
      <c r="K8" s="5">
        <f>+J8*6%</f>
        <v>2303040</v>
      </c>
      <c r="L8" s="5">
        <f>+J8*8%</f>
        <v>3070720</v>
      </c>
      <c r="M8" s="5">
        <f>+L8+K8+J8</f>
        <v>43757760</v>
      </c>
    </row>
    <row r="9" spans="1:16" s="4" customFormat="1" ht="15" customHeight="1" x14ac:dyDescent="0.25">
      <c r="A9" s="45">
        <v>1</v>
      </c>
      <c r="B9" s="12" t="s">
        <v>20</v>
      </c>
      <c r="C9" s="10">
        <f>SUM(C4:C8)</f>
        <v>13330</v>
      </c>
      <c r="D9" s="10"/>
      <c r="E9" s="10"/>
      <c r="F9" s="10"/>
      <c r="G9" s="10"/>
      <c r="H9" s="10"/>
      <c r="I9" s="10"/>
      <c r="J9" s="10">
        <f>SUM(J4:J8)</f>
        <v>255829360</v>
      </c>
      <c r="K9" s="10">
        <f>+K4+K5+K6+K7+K8</f>
        <v>15349761.6</v>
      </c>
      <c r="L9" s="10">
        <f>+L4+L5+L6+L7+L8</f>
        <v>20466348.800000001</v>
      </c>
      <c r="M9" s="2">
        <f>SUM(M4:M8)</f>
        <v>291645470.39999998</v>
      </c>
      <c r="P9" s="15"/>
    </row>
    <row r="10" spans="1:16" s="4" customFormat="1" ht="15" customHeight="1" x14ac:dyDescent="0.25">
      <c r="A10" s="46">
        <v>2</v>
      </c>
      <c r="B10" s="12" t="s">
        <v>21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>
        <f>+M9*0.15</f>
        <v>43746820.559999995</v>
      </c>
    </row>
    <row r="11" spans="1:16" s="4" customFormat="1" ht="24" x14ac:dyDescent="0.25">
      <c r="A11" s="46">
        <v>3</v>
      </c>
      <c r="B11" s="12" t="s">
        <v>25</v>
      </c>
      <c r="C11" s="10">
        <v>80</v>
      </c>
      <c r="D11" s="10" t="s">
        <v>22</v>
      </c>
      <c r="E11" s="10"/>
      <c r="F11" s="10"/>
      <c r="G11" s="10"/>
      <c r="H11" s="10"/>
      <c r="I11" s="10">
        <v>1090800</v>
      </c>
      <c r="J11" s="2"/>
      <c r="K11" s="2"/>
      <c r="L11" s="2"/>
      <c r="M11" s="2">
        <f>+I11*C11</f>
        <v>87264000</v>
      </c>
    </row>
    <row r="12" spans="1:16" s="4" customFormat="1" ht="15" customHeight="1" x14ac:dyDescent="0.25">
      <c r="A12" s="46">
        <v>4</v>
      </c>
      <c r="B12" s="12" t="s">
        <v>24</v>
      </c>
      <c r="C12" s="10">
        <v>80</v>
      </c>
      <c r="D12" s="10" t="s">
        <v>22</v>
      </c>
      <c r="E12" s="10"/>
      <c r="F12" s="10"/>
      <c r="G12" s="10"/>
      <c r="H12" s="10"/>
      <c r="I12" s="10">
        <v>837000</v>
      </c>
      <c r="J12" s="10"/>
      <c r="K12" s="10"/>
      <c r="L12" s="10"/>
      <c r="M12" s="13">
        <f>+I12*C12</f>
        <v>66960000</v>
      </c>
    </row>
    <row r="13" spans="1:16" s="4" customFormat="1" ht="37.5" customHeight="1" x14ac:dyDescent="0.25">
      <c r="A13" s="46">
        <v>5</v>
      </c>
      <c r="B13" s="12" t="s">
        <v>75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3">
        <v>0</v>
      </c>
    </row>
    <row r="14" spans="1:16" s="4" customFormat="1" ht="15" customHeight="1" x14ac:dyDescent="0.25">
      <c r="A14" s="46">
        <v>6</v>
      </c>
      <c r="B14" s="12" t="s">
        <v>26</v>
      </c>
      <c r="C14" s="10">
        <v>38</v>
      </c>
      <c r="D14" s="10" t="s">
        <v>27</v>
      </c>
      <c r="E14" s="10"/>
      <c r="F14" s="10"/>
      <c r="G14" s="10"/>
      <c r="H14" s="10"/>
      <c r="I14" s="10">
        <f>+ИГС!G17</f>
        <v>662683.71052631584</v>
      </c>
      <c r="J14" s="10"/>
      <c r="K14" s="10"/>
      <c r="L14" s="10"/>
      <c r="M14" s="13">
        <f>+I14*C14</f>
        <v>25181981.000000004</v>
      </c>
    </row>
    <row r="15" spans="1:16" s="4" customFormat="1" ht="15" customHeight="1" x14ac:dyDescent="0.25">
      <c r="A15" s="46">
        <v>7</v>
      </c>
      <c r="B15" s="12" t="s">
        <v>28</v>
      </c>
      <c r="C15" s="10">
        <v>80</v>
      </c>
      <c r="D15" s="10" t="s">
        <v>22</v>
      </c>
      <c r="E15" s="10"/>
      <c r="F15" s="10"/>
      <c r="G15" s="10"/>
      <c r="H15" s="10"/>
      <c r="I15" s="10">
        <v>237780</v>
      </c>
      <c r="J15" s="10"/>
      <c r="K15" s="10"/>
      <c r="L15" s="10"/>
      <c r="M15" s="13">
        <f>+C15*I15</f>
        <v>19022400</v>
      </c>
      <c r="N15" s="4">
        <f>20900000/80</f>
        <v>261250</v>
      </c>
    </row>
    <row r="16" spans="1:16" s="4" customFormat="1" ht="15" customHeight="1" x14ac:dyDescent="0.25">
      <c r="A16" s="46">
        <v>8</v>
      </c>
      <c r="B16" s="12" t="s">
        <v>29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3">
        <v>500000</v>
      </c>
    </row>
    <row r="17" spans="1:17" s="4" customFormat="1" ht="24" x14ac:dyDescent="0.25">
      <c r="A17" s="46">
        <v>9</v>
      </c>
      <c r="B17" s="12" t="s">
        <v>30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3">
        <f>+M9*8%</f>
        <v>23331637.631999999</v>
      </c>
    </row>
    <row r="18" spans="1:17" s="4" customFormat="1" ht="15" customHeight="1" x14ac:dyDescent="0.25">
      <c r="A18" s="60" t="s">
        <v>31</v>
      </c>
      <c r="B18" s="61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3">
        <f>SUM(M9:M17)</f>
        <v>557652309.59200001</v>
      </c>
    </row>
    <row r="19" spans="1:17" s="4" customFormat="1" ht="15" customHeight="1" x14ac:dyDescent="0.25">
      <c r="A19" s="60" t="s">
        <v>32</v>
      </c>
      <c r="B19" s="61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3">
        <f>+M18*0.1</f>
        <v>55765230.959200002</v>
      </c>
    </row>
    <row r="20" spans="1:17" s="14" customFormat="1" ht="15" customHeight="1" x14ac:dyDescent="0.25">
      <c r="A20" s="62" t="s">
        <v>2</v>
      </c>
      <c r="B20" s="63"/>
      <c r="C20" s="48"/>
      <c r="D20" s="48"/>
      <c r="E20" s="48"/>
      <c r="F20" s="48"/>
      <c r="G20" s="48"/>
      <c r="H20" s="48"/>
      <c r="I20" s="48"/>
      <c r="J20" s="48"/>
      <c r="K20" s="48"/>
      <c r="L20" s="48"/>
      <c r="M20" s="48">
        <f>+M19+M18</f>
        <v>613417540.55120003</v>
      </c>
      <c r="N20" s="14">
        <v>289370400</v>
      </c>
      <c r="O20" s="14">
        <v>607377032</v>
      </c>
      <c r="P20" s="14">
        <f>+O20+N20</f>
        <v>896747432</v>
      </c>
      <c r="Q20" s="14">
        <f>+P20-M20</f>
        <v>283329891.44879997</v>
      </c>
    </row>
    <row r="21" spans="1:17" ht="15" customHeight="1" x14ac:dyDescent="0.25"/>
    <row r="22" spans="1:17" x14ac:dyDescent="0.25">
      <c r="B22" s="8" t="s">
        <v>12</v>
      </c>
      <c r="C22" s="58" t="s">
        <v>13</v>
      </c>
      <c r="D22" s="58"/>
      <c r="E22" s="58"/>
      <c r="F22" s="58"/>
      <c r="G22" s="58"/>
      <c r="H22" s="58"/>
      <c r="I22" s="58"/>
      <c r="J22" s="58"/>
      <c r="K22" s="58"/>
      <c r="L22" s="58"/>
      <c r="M22" s="58"/>
      <c r="N22" s="58"/>
      <c r="O22" s="58"/>
      <c r="P22" s="58"/>
      <c r="Q22" s="58"/>
    </row>
    <row r="23" spans="1:17" x14ac:dyDescent="0.25">
      <c r="C23" s="58" t="s">
        <v>74</v>
      </c>
      <c r="D23" s="58"/>
      <c r="E23" s="58"/>
      <c r="F23" s="58"/>
      <c r="G23" s="58"/>
      <c r="H23" s="58"/>
      <c r="I23" s="58"/>
      <c r="J23" s="58"/>
      <c r="K23" s="58"/>
      <c r="L23" s="58"/>
      <c r="M23" s="58"/>
      <c r="N23" s="58"/>
      <c r="O23" s="58"/>
      <c r="P23" s="58"/>
      <c r="Q23" s="58"/>
    </row>
    <row r="24" spans="1:17" x14ac:dyDescent="0.25">
      <c r="C24" s="58" t="s">
        <v>64</v>
      </c>
      <c r="D24" s="58"/>
      <c r="E24" s="58"/>
      <c r="F24" s="58"/>
      <c r="G24" s="58"/>
      <c r="H24" s="58"/>
      <c r="I24" s="58"/>
      <c r="J24" s="58"/>
      <c r="K24" s="58"/>
      <c r="L24" s="58"/>
      <c r="M24" s="58"/>
      <c r="N24" s="58"/>
      <c r="O24" s="58"/>
      <c r="P24" s="58"/>
      <c r="Q24" s="58"/>
    </row>
    <row r="25" spans="1:17" x14ac:dyDescent="0.25">
      <c r="C25" s="66" t="s">
        <v>66</v>
      </c>
      <c r="D25" s="66"/>
      <c r="E25" s="66"/>
      <c r="F25" s="66"/>
      <c r="G25" s="66"/>
      <c r="H25" s="66"/>
      <c r="I25" s="66"/>
      <c r="J25" s="66"/>
      <c r="K25" s="66"/>
      <c r="L25" s="66"/>
      <c r="M25" s="66"/>
      <c r="N25" s="66"/>
      <c r="O25" s="66"/>
      <c r="P25" s="66"/>
      <c r="Q25" s="66"/>
    </row>
    <row r="26" spans="1:17" x14ac:dyDescent="0.25">
      <c r="C26" s="59" t="s">
        <v>65</v>
      </c>
      <c r="D26" s="59"/>
      <c r="E26" s="59"/>
      <c r="F26" s="59"/>
      <c r="G26" s="59"/>
      <c r="H26" s="59"/>
      <c r="I26" s="59"/>
      <c r="J26" s="59"/>
      <c r="K26" s="59"/>
      <c r="L26" s="59"/>
      <c r="M26" s="11"/>
      <c r="N26" s="11"/>
      <c r="O26" s="11"/>
      <c r="P26" s="11"/>
      <c r="Q26" s="11"/>
    </row>
    <row r="27" spans="1:17" x14ac:dyDescent="0.25">
      <c r="B27" s="49" t="s">
        <v>67</v>
      </c>
      <c r="C27" s="57" t="s">
        <v>60</v>
      </c>
      <c r="D27" s="57"/>
      <c r="E27" s="57"/>
      <c r="F27" s="57"/>
      <c r="G27" s="57"/>
      <c r="H27" s="57"/>
      <c r="I27" s="57"/>
      <c r="J27" s="57"/>
      <c r="K27" s="57"/>
      <c r="L27" s="57"/>
      <c r="M27" s="57"/>
      <c r="N27" s="9"/>
      <c r="O27" s="9"/>
      <c r="P27" s="9"/>
      <c r="Q27" s="9"/>
    </row>
    <row r="28" spans="1:17" x14ac:dyDescent="0.25">
      <c r="C28" s="57" t="s">
        <v>59</v>
      </c>
      <c r="D28" s="57"/>
      <c r="E28" s="57"/>
      <c r="F28" s="57"/>
      <c r="G28" s="57"/>
      <c r="H28" s="57"/>
      <c r="I28" s="57"/>
      <c r="J28" s="57"/>
      <c r="K28" s="57"/>
      <c r="L28" s="57"/>
      <c r="M28" s="42"/>
    </row>
    <row r="29" spans="1:17" x14ac:dyDescent="0.25">
      <c r="C29" s="57" t="s">
        <v>58</v>
      </c>
      <c r="D29" s="57"/>
      <c r="E29" s="57"/>
      <c r="F29" s="57"/>
      <c r="G29" s="57"/>
      <c r="H29" s="57"/>
      <c r="I29" s="57"/>
      <c r="J29" s="57"/>
      <c r="K29" s="57"/>
      <c r="L29" s="57"/>
      <c r="M29" s="42"/>
    </row>
    <row r="30" spans="1:17" x14ac:dyDescent="0.25">
      <c r="B30" s="49" t="s">
        <v>69</v>
      </c>
      <c r="C30" s="67" t="s">
        <v>70</v>
      </c>
      <c r="D30" s="67"/>
      <c r="F30" s="68">
        <v>896747432</v>
      </c>
      <c r="G30" s="68"/>
    </row>
    <row r="31" spans="1:17" x14ac:dyDescent="0.25">
      <c r="B31" s="49"/>
      <c r="C31" s="67" t="s">
        <v>71</v>
      </c>
      <c r="D31" s="67"/>
      <c r="F31" s="69">
        <f>+M20</f>
        <v>613417540.55120003</v>
      </c>
      <c r="G31" s="69"/>
    </row>
    <row r="32" spans="1:17" x14ac:dyDescent="0.25">
      <c r="B32" s="49"/>
      <c r="C32" s="54" t="s">
        <v>72</v>
      </c>
      <c r="D32" s="55"/>
      <c r="E32" s="55"/>
      <c r="F32" s="70">
        <f>+F30-F31</f>
        <v>283329891.44879997</v>
      </c>
      <c r="G32" s="70"/>
    </row>
    <row r="33" spans="2:13" ht="15" customHeight="1" x14ac:dyDescent="0.25"/>
    <row r="34" spans="2:13" ht="15" customHeight="1" x14ac:dyDescent="0.25"/>
    <row r="35" spans="2:13" ht="15" customHeight="1" x14ac:dyDescent="0.25"/>
    <row r="36" spans="2:13" ht="15" customHeight="1" x14ac:dyDescent="0.25"/>
    <row r="37" spans="2:13" ht="15" customHeight="1" x14ac:dyDescent="0.25"/>
    <row r="38" spans="2:13" ht="15" customHeight="1" x14ac:dyDescent="0.25"/>
    <row r="39" spans="2:13" x14ac:dyDescent="0.25">
      <c r="B39" s="50"/>
      <c r="C39" s="14"/>
      <c r="D39" s="14"/>
      <c r="E39" s="65" t="s">
        <v>68</v>
      </c>
      <c r="F39" s="65"/>
      <c r="G39" s="65"/>
      <c r="H39" s="65"/>
      <c r="I39" s="65"/>
      <c r="J39" s="65"/>
      <c r="K39" s="14"/>
      <c r="L39" s="14"/>
      <c r="M39" s="14"/>
    </row>
    <row r="40" spans="2:13" ht="26.25" customHeight="1" x14ac:dyDescent="0.25">
      <c r="B40" s="64" t="s">
        <v>73</v>
      </c>
      <c r="C40" s="64"/>
      <c r="D40" s="64"/>
      <c r="E40" s="64"/>
      <c r="F40" s="64"/>
      <c r="G40" s="64"/>
      <c r="H40" s="64"/>
      <c r="I40" s="64"/>
      <c r="J40" s="64"/>
      <c r="K40" s="64"/>
      <c r="L40" s="64"/>
      <c r="M40" s="64"/>
    </row>
    <row r="41" spans="2:13" ht="15" customHeight="1" x14ac:dyDescent="0.25">
      <c r="J41" s="7"/>
      <c r="K41" s="7"/>
      <c r="L41" s="7"/>
      <c r="M41" s="4"/>
    </row>
    <row r="42" spans="2:13" ht="15" customHeight="1" x14ac:dyDescent="0.25">
      <c r="J42" s="7"/>
      <c r="K42" s="7"/>
      <c r="L42" s="7"/>
      <c r="M42" s="4"/>
    </row>
    <row r="43" spans="2:13" ht="15" customHeight="1" x14ac:dyDescent="0.25">
      <c r="J43" s="7"/>
      <c r="K43" s="7"/>
      <c r="L43" s="7"/>
      <c r="M43" s="4"/>
    </row>
    <row r="44" spans="2:13" ht="15" customHeight="1" x14ac:dyDescent="0.25">
      <c r="J44" s="7"/>
      <c r="K44" s="7"/>
      <c r="L44" s="7"/>
      <c r="M44" s="4"/>
    </row>
    <row r="45" spans="2:13" ht="15" customHeight="1" x14ac:dyDescent="0.25">
      <c r="J45" s="7"/>
      <c r="K45" s="7"/>
      <c r="L45" s="7"/>
      <c r="M45" s="4"/>
    </row>
    <row r="46" spans="2:13" ht="15" customHeight="1" x14ac:dyDescent="0.25">
      <c r="J46" s="7"/>
      <c r="K46" s="7"/>
      <c r="L46" s="7"/>
      <c r="M46" s="4"/>
    </row>
    <row r="47" spans="2:13" ht="15" customHeight="1" x14ac:dyDescent="0.25">
      <c r="J47" s="7"/>
      <c r="K47" s="7"/>
      <c r="L47" s="7"/>
      <c r="M47" s="4"/>
    </row>
    <row r="48" spans="2:13" ht="15" customHeight="1" x14ac:dyDescent="0.25">
      <c r="J48" s="7"/>
      <c r="K48" s="7"/>
      <c r="L48" s="7"/>
      <c r="M48" s="4"/>
    </row>
    <row r="49" spans="10:13" ht="15" customHeight="1" x14ac:dyDescent="0.25">
      <c r="J49" s="7"/>
      <c r="K49" s="7"/>
      <c r="L49" s="7"/>
      <c r="M49" s="4"/>
    </row>
    <row r="50" spans="10:13" ht="15" customHeight="1" x14ac:dyDescent="0.25">
      <c r="J50" s="7"/>
      <c r="K50" s="7"/>
      <c r="L50" s="7"/>
      <c r="M50" s="4"/>
    </row>
  </sheetData>
  <mergeCells count="19">
    <mergeCell ref="B40:M40"/>
    <mergeCell ref="E39:J39"/>
    <mergeCell ref="C28:L28"/>
    <mergeCell ref="C29:L29"/>
    <mergeCell ref="C24:Q24"/>
    <mergeCell ref="C25:Q25"/>
    <mergeCell ref="C30:D30"/>
    <mergeCell ref="C31:D31"/>
    <mergeCell ref="F30:G30"/>
    <mergeCell ref="F31:G31"/>
    <mergeCell ref="F32:G32"/>
    <mergeCell ref="A1:M1"/>
    <mergeCell ref="C27:M27"/>
    <mergeCell ref="C22:Q22"/>
    <mergeCell ref="C23:Q23"/>
    <mergeCell ref="C26:L26"/>
    <mergeCell ref="A18:B18"/>
    <mergeCell ref="A19:B19"/>
    <mergeCell ref="A20:B20"/>
  </mergeCells>
  <pageMargins left="0.7" right="0.7" top="0.75" bottom="0.75" header="0.3" footer="0.3"/>
  <pageSetup paperSize="9" scale="75" orientation="landscape" verticalDpi="3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K30"/>
  <sheetViews>
    <sheetView zoomScaleNormal="100" workbookViewId="0">
      <selection activeCell="C20" sqref="C20"/>
    </sheetView>
  </sheetViews>
  <sheetFormatPr defaultRowHeight="15" x14ac:dyDescent="0.25"/>
  <cols>
    <col min="1" max="1" width="6.140625" style="41" customWidth="1"/>
    <col min="2" max="2" width="38.5703125" style="16" customWidth="1"/>
    <col min="3" max="3" width="33.7109375" style="16" customWidth="1"/>
    <col min="4" max="4" width="9.140625" style="16"/>
    <col min="5" max="5" width="13" style="16" customWidth="1"/>
    <col min="6" max="6" width="11.42578125" style="16" customWidth="1"/>
    <col min="7" max="7" width="15.7109375" style="16" bestFit="1" customWidth="1"/>
    <col min="8" max="9" width="9.140625" style="16"/>
    <col min="10" max="10" width="9.42578125" style="16" bestFit="1" customWidth="1"/>
    <col min="11" max="16384" width="9.140625" style="16"/>
  </cols>
  <sheetData>
    <row r="3" spans="1:11" x14ac:dyDescent="0.25">
      <c r="A3" s="71" t="s">
        <v>52</v>
      </c>
      <c r="B3" s="71"/>
      <c r="C3" s="71"/>
      <c r="D3" s="71"/>
      <c r="E3" s="71"/>
      <c r="F3" s="71"/>
      <c r="G3" s="71"/>
    </row>
    <row r="4" spans="1:11" ht="15.75" thickBot="1" x14ac:dyDescent="0.3">
      <c r="A4" s="72"/>
      <c r="B4" s="72"/>
      <c r="C4" s="72"/>
      <c r="D4" s="72"/>
      <c r="E4" s="72"/>
      <c r="F4" s="72"/>
      <c r="G4" s="72"/>
    </row>
    <row r="5" spans="1:11" s="20" customFormat="1" ht="28.5" x14ac:dyDescent="0.25">
      <c r="A5" s="17" t="s">
        <v>34</v>
      </c>
      <c r="B5" s="18" t="s">
        <v>35</v>
      </c>
      <c r="C5" s="18" t="s">
        <v>36</v>
      </c>
      <c r="D5" s="18" t="s">
        <v>37</v>
      </c>
      <c r="E5" s="18" t="s">
        <v>38</v>
      </c>
      <c r="F5" s="18" t="s">
        <v>39</v>
      </c>
      <c r="G5" s="19" t="s">
        <v>40</v>
      </c>
    </row>
    <row r="6" spans="1:11" s="20" customFormat="1" x14ac:dyDescent="0.25">
      <c r="A6" s="73" t="s">
        <v>41</v>
      </c>
      <c r="B6" s="74"/>
      <c r="C6" s="74"/>
      <c r="D6" s="74"/>
      <c r="E6" s="74"/>
      <c r="F6" s="74"/>
      <c r="G6" s="75"/>
    </row>
    <row r="7" spans="1:11" s="20" customFormat="1" x14ac:dyDescent="0.25">
      <c r="A7" s="21">
        <v>1.1000000000000001</v>
      </c>
      <c r="B7" s="22" t="s">
        <v>33</v>
      </c>
      <c r="C7" s="22" t="s">
        <v>53</v>
      </c>
      <c r="D7" s="23" t="s">
        <v>22</v>
      </c>
      <c r="E7" s="24">
        <v>80</v>
      </c>
      <c r="F7" s="24">
        <v>30000</v>
      </c>
      <c r="G7" s="25">
        <f>+F7*E7</f>
        <v>2400000</v>
      </c>
    </row>
    <row r="8" spans="1:11" ht="30" x14ac:dyDescent="0.25">
      <c r="A8" s="26">
        <v>1.2</v>
      </c>
      <c r="B8" s="27" t="s">
        <v>51</v>
      </c>
      <c r="C8" s="28" t="s">
        <v>55</v>
      </c>
      <c r="D8" s="29" t="s">
        <v>42</v>
      </c>
      <c r="E8" s="30">
        <f>5*38</f>
        <v>190</v>
      </c>
      <c r="F8" s="30">
        <v>55000</v>
      </c>
      <c r="G8" s="31">
        <f>+F8*E8</f>
        <v>10450000</v>
      </c>
      <c r="H8" s="32"/>
      <c r="I8" s="32"/>
      <c r="J8" s="32"/>
      <c r="K8" s="32"/>
    </row>
    <row r="9" spans="1:11" ht="30" x14ac:dyDescent="0.25">
      <c r="A9" s="26">
        <v>1.3</v>
      </c>
      <c r="B9" s="27" t="s">
        <v>43</v>
      </c>
      <c r="C9" s="28" t="s">
        <v>56</v>
      </c>
      <c r="D9" s="33" t="s">
        <v>44</v>
      </c>
      <c r="E9" s="30">
        <f>38*3</f>
        <v>114</v>
      </c>
      <c r="F9" s="30">
        <v>6000</v>
      </c>
      <c r="G9" s="31">
        <f>+F9*E9</f>
        <v>684000</v>
      </c>
      <c r="H9" s="32"/>
      <c r="I9" s="32"/>
      <c r="J9" s="32"/>
      <c r="K9" s="32"/>
    </row>
    <row r="10" spans="1:11" x14ac:dyDescent="0.25">
      <c r="A10" s="76" t="s">
        <v>45</v>
      </c>
      <c r="B10" s="77"/>
      <c r="C10" s="77"/>
      <c r="D10" s="77"/>
      <c r="E10" s="77"/>
      <c r="F10" s="77"/>
      <c r="G10" s="78"/>
      <c r="H10" s="32"/>
      <c r="I10" s="32"/>
      <c r="J10" s="32"/>
      <c r="K10" s="32"/>
    </row>
    <row r="11" spans="1:11" ht="30" x14ac:dyDescent="0.25">
      <c r="A11" s="26">
        <v>2.1</v>
      </c>
      <c r="B11" s="27" t="s">
        <v>46</v>
      </c>
      <c r="C11" s="28" t="s">
        <v>54</v>
      </c>
      <c r="D11" s="33" t="s">
        <v>44</v>
      </c>
      <c r="E11" s="30">
        <f>+E9</f>
        <v>114</v>
      </c>
      <c r="F11" s="30">
        <v>50000</v>
      </c>
      <c r="G11" s="31">
        <f>+F11*E11</f>
        <v>5700000</v>
      </c>
      <c r="H11" s="32"/>
      <c r="I11" s="32"/>
      <c r="J11" s="32"/>
      <c r="K11" s="32"/>
    </row>
    <row r="12" spans="1:11" x14ac:dyDescent="0.25">
      <c r="A12" s="76" t="s">
        <v>47</v>
      </c>
      <c r="B12" s="77"/>
      <c r="C12" s="77"/>
      <c r="D12" s="77"/>
      <c r="E12" s="77"/>
      <c r="F12" s="77"/>
      <c r="G12" s="78"/>
      <c r="H12" s="32"/>
      <c r="I12" s="32"/>
      <c r="J12" s="32"/>
      <c r="K12" s="32"/>
    </row>
    <row r="13" spans="1:11" x14ac:dyDescent="0.25">
      <c r="A13" s="26">
        <v>3.1</v>
      </c>
      <c r="B13" s="28" t="s">
        <v>48</v>
      </c>
      <c r="C13" s="28" t="s">
        <v>49</v>
      </c>
      <c r="D13" s="28"/>
      <c r="E13" s="34"/>
      <c r="F13" s="30"/>
      <c r="G13" s="31">
        <f>+(G11+G9+G8+G7)*0.3</f>
        <v>5770200</v>
      </c>
      <c r="H13" s="32"/>
      <c r="I13" s="32"/>
      <c r="J13" s="32"/>
      <c r="K13" s="32"/>
    </row>
    <row r="14" spans="1:11" x14ac:dyDescent="0.25">
      <c r="A14" s="26">
        <v>3.2</v>
      </c>
      <c r="B14" s="28" t="s">
        <v>50</v>
      </c>
      <c r="C14" s="28" t="s">
        <v>57</v>
      </c>
      <c r="D14" s="28"/>
      <c r="E14" s="34"/>
      <c r="F14" s="30"/>
      <c r="G14" s="31">
        <f>+G13*0.05</f>
        <v>288510</v>
      </c>
      <c r="H14" s="32"/>
      <c r="I14" s="32"/>
      <c r="J14" s="32"/>
      <c r="K14" s="32"/>
    </row>
    <row r="15" spans="1:11" x14ac:dyDescent="0.25">
      <c r="A15" s="26">
        <v>3.3</v>
      </c>
      <c r="B15" s="28" t="s">
        <v>32</v>
      </c>
      <c r="C15" s="28"/>
      <c r="D15" s="28"/>
      <c r="E15" s="34"/>
      <c r="F15" s="30"/>
      <c r="G15" s="31">
        <f>SUM(G8:G14)*0.1</f>
        <v>2289271</v>
      </c>
      <c r="H15" s="32"/>
      <c r="I15" s="32"/>
      <c r="J15" s="32"/>
      <c r="K15" s="32"/>
    </row>
    <row r="16" spans="1:11" s="40" customFormat="1" thickBot="1" x14ac:dyDescent="0.25">
      <c r="A16" s="79" t="s">
        <v>2</v>
      </c>
      <c r="B16" s="80"/>
      <c r="C16" s="81"/>
      <c r="D16" s="35"/>
      <c r="E16" s="36"/>
      <c r="F16" s="37"/>
      <c r="G16" s="38">
        <f>SUM(G8:G15)</f>
        <v>25181981</v>
      </c>
      <c r="H16" s="39"/>
      <c r="I16" s="39"/>
      <c r="J16" s="39"/>
      <c r="K16" s="39"/>
    </row>
    <row r="17" spans="5:11" x14ac:dyDescent="0.25">
      <c r="E17" s="32"/>
      <c r="F17" s="32"/>
      <c r="G17" s="32">
        <f>+G16/38</f>
        <v>662683.71052631584</v>
      </c>
      <c r="H17" s="32"/>
      <c r="I17" s="32"/>
      <c r="J17" s="32"/>
      <c r="K17" s="32"/>
    </row>
    <row r="18" spans="5:11" x14ac:dyDescent="0.25">
      <c r="E18" s="32"/>
      <c r="F18" s="32"/>
      <c r="G18" s="32"/>
      <c r="H18" s="32"/>
      <c r="I18" s="32"/>
      <c r="J18" s="32"/>
      <c r="K18" s="32"/>
    </row>
    <row r="19" spans="5:11" x14ac:dyDescent="0.25">
      <c r="E19" s="32"/>
      <c r="F19" s="32"/>
      <c r="G19" s="32"/>
      <c r="H19" s="32"/>
      <c r="I19" s="32"/>
      <c r="J19" s="32"/>
      <c r="K19" s="32"/>
    </row>
    <row r="20" spans="5:11" x14ac:dyDescent="0.25">
      <c r="E20" s="32"/>
      <c r="F20" s="32"/>
      <c r="G20" s="32"/>
      <c r="H20" s="32"/>
      <c r="I20" s="32"/>
      <c r="J20" s="32"/>
      <c r="K20" s="32"/>
    </row>
    <row r="21" spans="5:11" x14ac:dyDescent="0.25">
      <c r="E21" s="32"/>
      <c r="F21" s="32"/>
      <c r="G21" s="32"/>
      <c r="H21" s="32"/>
      <c r="I21" s="32"/>
      <c r="J21" s="32"/>
      <c r="K21" s="32"/>
    </row>
    <row r="22" spans="5:11" x14ac:dyDescent="0.25">
      <c r="E22" s="32"/>
      <c r="F22" s="32"/>
      <c r="G22" s="32"/>
      <c r="H22" s="32"/>
      <c r="I22" s="32"/>
      <c r="J22" s="32"/>
      <c r="K22" s="32"/>
    </row>
    <row r="23" spans="5:11" x14ac:dyDescent="0.25">
      <c r="E23" s="32"/>
      <c r="F23" s="32"/>
      <c r="G23" s="32"/>
      <c r="H23" s="32"/>
      <c r="I23" s="32"/>
      <c r="J23" s="32"/>
      <c r="K23" s="32"/>
    </row>
    <row r="24" spans="5:11" x14ac:dyDescent="0.25">
      <c r="E24" s="32"/>
      <c r="F24" s="32"/>
      <c r="G24" s="32"/>
      <c r="H24" s="32"/>
      <c r="I24" s="32"/>
      <c r="J24" s="32"/>
      <c r="K24" s="32"/>
    </row>
    <row r="25" spans="5:11" x14ac:dyDescent="0.25">
      <c r="E25" s="32"/>
      <c r="F25" s="32"/>
      <c r="G25" s="32"/>
      <c r="H25" s="32"/>
      <c r="I25" s="32"/>
      <c r="J25" s="32"/>
      <c r="K25" s="32"/>
    </row>
    <row r="26" spans="5:11" x14ac:dyDescent="0.25">
      <c r="E26" s="32"/>
      <c r="F26" s="32"/>
      <c r="G26" s="32"/>
      <c r="H26" s="32"/>
      <c r="I26" s="32"/>
      <c r="J26" s="32"/>
      <c r="K26" s="32"/>
    </row>
    <row r="27" spans="5:11" x14ac:dyDescent="0.25">
      <c r="E27" s="32"/>
      <c r="F27" s="32"/>
      <c r="G27" s="32"/>
      <c r="H27" s="32"/>
      <c r="I27" s="32"/>
      <c r="J27" s="32"/>
      <c r="K27" s="32"/>
    </row>
    <row r="28" spans="5:11" x14ac:dyDescent="0.25">
      <c r="E28" s="32"/>
      <c r="F28" s="32"/>
      <c r="G28" s="32"/>
      <c r="H28" s="32"/>
      <c r="I28" s="32"/>
      <c r="J28" s="32"/>
      <c r="K28" s="32"/>
    </row>
    <row r="29" spans="5:11" x14ac:dyDescent="0.25">
      <c r="E29" s="32"/>
      <c r="F29" s="32"/>
      <c r="G29" s="32"/>
      <c r="H29" s="32"/>
      <c r="I29" s="32"/>
      <c r="J29" s="32"/>
      <c r="K29" s="32"/>
    </row>
    <row r="30" spans="5:11" x14ac:dyDescent="0.25">
      <c r="E30" s="32"/>
      <c r="F30" s="32"/>
      <c r="G30" s="32"/>
      <c r="H30" s="32"/>
      <c r="I30" s="32"/>
      <c r="J30" s="32"/>
      <c r="K30" s="32"/>
    </row>
  </sheetData>
  <mergeCells count="5">
    <mergeCell ref="A3:G4"/>
    <mergeCell ref="A6:G6"/>
    <mergeCell ref="A10:G10"/>
    <mergeCell ref="A12:G12"/>
    <mergeCell ref="A16:C16"/>
  </mergeCells>
  <pageMargins left="0.7" right="0.7" top="0.75" bottom="0.75" header="0.3" footer="0.3"/>
  <pageSetup paperSize="9" scale="68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E17" sqref="E17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Нэгтгэл</vt:lpstr>
      <vt:lpstr>ИГС</vt:lpstr>
      <vt:lpstr>ГБЗ</vt:lpstr>
      <vt:lpstr>Нэгтгэл!Print_Area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Бат-Өлзий Билгүүн</cp:lastModifiedBy>
  <cp:lastPrinted>2023-04-26T07:40:38Z</cp:lastPrinted>
  <dcterms:created xsi:type="dcterms:W3CDTF">2021-07-05T06:23:25Z</dcterms:created>
  <dcterms:modified xsi:type="dcterms:W3CDTF">2023-06-21T03:43:30Z</dcterms:modified>
</cp:coreProperties>
</file>